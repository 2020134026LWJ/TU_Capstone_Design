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puackr-my.sharepoint.com/personal/won010909_tukorea_ac_kr/Documents/바탕 화면/졸작 팀 관련 문서들/종합설계기획/최종 발표 자료/"/>
    </mc:Choice>
  </mc:AlternateContent>
  <xr:revisionPtr revIDLastSave="99" documentId="8_{A79FCC77-FC9B-448E-A437-027F0A817DCD}" xr6:coauthVersionLast="47" xr6:coauthVersionMax="47" xr10:uidLastSave="{B167D023-D25B-4D15-88BC-2BC9FE263331}"/>
  <bookViews>
    <workbookView minimized="1" xWindow="1037" yWindow="2143" windowWidth="18514" windowHeight="10740" xr2:uid="{11F5EE10-7C93-4A0E-85FB-2846843DAB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1" l="1"/>
  <c r="K8" i="1"/>
  <c r="K9" i="1"/>
  <c r="K10" i="1"/>
  <c r="K11" i="1"/>
  <c r="K12" i="1"/>
  <c r="K13" i="1"/>
  <c r="K14" i="1"/>
  <c r="K6" i="1"/>
  <c r="J22" i="1"/>
</calcChain>
</file>

<file path=xl/sharedStrings.xml><?xml version="1.0" encoding="utf-8"?>
<sst xmlns="http://schemas.openxmlformats.org/spreadsheetml/2006/main" count="44" uniqueCount="34">
  <si>
    <t>종류</t>
    <phoneticPr fontId="1" type="noConversion"/>
  </si>
  <si>
    <t>이름</t>
    <phoneticPr fontId="1" type="noConversion"/>
  </si>
  <si>
    <t>개수</t>
    <phoneticPr fontId="1" type="noConversion"/>
  </si>
  <si>
    <t>MCU</t>
    <phoneticPr fontId="1" type="noConversion"/>
  </si>
  <si>
    <t>카메라</t>
    <phoneticPr fontId="1" type="noConversion"/>
  </si>
  <si>
    <t>바퀴</t>
    <phoneticPr fontId="1" type="noConversion"/>
  </si>
  <si>
    <t>총 합계</t>
    <phoneticPr fontId="1" type="noConversion"/>
  </si>
  <si>
    <t>졸업작품 부품 및 예산</t>
    <phoneticPr fontId="1" type="noConversion"/>
  </si>
  <si>
    <t>로봇 제어 pc</t>
    <phoneticPr fontId="1" type="noConversion"/>
  </si>
  <si>
    <t>리니어 액추에이터</t>
    <phoneticPr fontId="1" type="noConversion"/>
  </si>
  <si>
    <t>UI용 디스플레이</t>
    <phoneticPr fontId="1" type="noConversion"/>
  </si>
  <si>
    <t>소형리니어액츄에이터 메탈타입 LM2036M DC12V 128N/188N</t>
    <phoneticPr fontId="1" type="noConversion"/>
  </si>
  <si>
    <t>라즈베리파이 5 - 16GB</t>
    <phoneticPr fontId="1" type="noConversion"/>
  </si>
  <si>
    <t>[DFROBOT] 5MP Night Vision Camera for Raspberry Pi [SEN0184]</t>
    <phoneticPr fontId="1" type="noConversion"/>
  </si>
  <si>
    <t>[SunFounder] [KC인증] 라즈베리파이 5인치 800x480 HDMI LCD 터치스크린 모니터 [CN0396]</t>
    <phoneticPr fontId="1" type="noConversion"/>
  </si>
  <si>
    <t>이미지</t>
    <phoneticPr fontId="1" type="noConversion"/>
  </si>
  <si>
    <t>부품명</t>
    <phoneticPr fontId="1" type="noConversion"/>
  </si>
  <si>
    <t>단가</t>
    <phoneticPr fontId="1" type="noConversion"/>
  </si>
  <si>
    <t>수량</t>
    <phoneticPr fontId="1" type="noConversion"/>
  </si>
  <si>
    <t>가격</t>
    <phoneticPr fontId="1" type="noConversion"/>
  </si>
  <si>
    <t>비고</t>
    <phoneticPr fontId="1" type="noConversion"/>
  </si>
  <si>
    <t>IMU</t>
    <phoneticPr fontId="1" type="noConversion"/>
  </si>
  <si>
    <t>ACMU/ACMUA 정밀중하중 볼베어링 알미늄/폴리우레탄바퀴세트</t>
    <phoneticPr fontId="1" type="noConversion"/>
  </si>
  <si>
    <t>[OEM] MPU-6050 6축 자이로 가속도 센서 모듈 GY-521 [SZH-EK007]</t>
    <phoneticPr fontId="1" type="noConversion"/>
  </si>
  <si>
    <t>모터 드라이버</t>
    <phoneticPr fontId="1" type="noConversion"/>
  </si>
  <si>
    <t>모터</t>
    <phoneticPr fontId="1" type="noConversion"/>
  </si>
  <si>
    <t>선정중</t>
    <phoneticPr fontId="1" type="noConversion"/>
  </si>
  <si>
    <t>기타</t>
    <phoneticPr fontId="1" type="noConversion"/>
  </si>
  <si>
    <t>선정완료</t>
    <phoneticPr fontId="1" type="noConversion"/>
  </si>
  <si>
    <t>[STMicroelectronics] NUCLEO-144 STM32F767ZI EVAL BRD</t>
    <phoneticPr fontId="1" type="noConversion"/>
  </si>
  <si>
    <t>n</t>
    <phoneticPr fontId="1" type="noConversion"/>
  </si>
  <si>
    <t>N</t>
    <phoneticPr fontId="1" type="noConversion"/>
  </si>
  <si>
    <t>엔코더장착형 감속기어모터 IG-42GM+Encoder 02TYPE(24v)</t>
    <phoneticPr fontId="1" type="noConversion"/>
  </si>
  <si>
    <t>[SMG] 350W 30A 싱글채널 DC모터 드라이버 [SZH-GNP522]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</si>
</sst>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left" vertical="center"/>
    </xf>
    <xf numFmtId="0" fontId="0" fillId="0" borderId="2" xfId="0" applyBorder="1">
      <alignment vertical="center"/>
    </xf>
    <xf numFmtId="0" fontId="0" fillId="0" borderId="2" xfId="0" applyBorder="1" applyAlignment="1">
      <alignment horizontal="right" vertical="center"/>
    </xf>
    <xf numFmtId="3" fontId="0" fillId="0" borderId="2" xfId="0" applyNumberFormat="1" applyBorder="1" applyAlignment="1">
      <alignment horizontal="right" vertical="center"/>
    </xf>
    <xf numFmtId="3" fontId="0" fillId="0" borderId="2" xfId="0" applyNumberFormat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F0FEE-FA94-4444-B957-8F21005A8443}">
  <dimension ref="B2:L26"/>
  <sheetViews>
    <sheetView tabSelected="1" topLeftCell="A2" zoomScale="115" zoomScaleNormal="115" workbookViewId="0">
      <selection activeCell="J22" sqref="J22"/>
    </sheetView>
  </sheetViews>
  <sheetFormatPr defaultRowHeight="17.600000000000001" x14ac:dyDescent="0.55000000000000004"/>
  <cols>
    <col min="1" max="2" width="9.140625" customWidth="1"/>
    <col min="3" max="3" width="20.85546875" customWidth="1"/>
    <col min="4" max="8" width="16.78515625" customWidth="1"/>
    <col min="10" max="10" width="9.640625" bestFit="1" customWidth="1"/>
  </cols>
  <sheetData>
    <row r="2" spans="2:12" ht="64.75" customHeight="1" x14ac:dyDescent="0.55000000000000004">
      <c r="B2" s="1"/>
      <c r="C2" s="13" t="s">
        <v>7</v>
      </c>
      <c r="D2" s="13"/>
      <c r="E2" s="13"/>
      <c r="F2" s="13"/>
      <c r="G2" s="13"/>
      <c r="H2" s="13"/>
      <c r="I2" s="13"/>
      <c r="J2" s="13"/>
      <c r="K2" s="1"/>
    </row>
    <row r="3" spans="2:12" x14ac:dyDescent="0.55000000000000004">
      <c r="B3" s="1"/>
      <c r="C3" s="9" t="s">
        <v>0</v>
      </c>
      <c r="D3" s="9" t="s">
        <v>1</v>
      </c>
      <c r="E3" s="9"/>
      <c r="F3" s="9"/>
      <c r="G3" s="9"/>
      <c r="H3" s="9"/>
      <c r="I3" s="9" t="s">
        <v>17</v>
      </c>
      <c r="J3" s="9" t="s">
        <v>2</v>
      </c>
      <c r="K3" s="11" t="s">
        <v>19</v>
      </c>
      <c r="L3" s="12" t="s">
        <v>20</v>
      </c>
    </row>
    <row r="4" spans="2:12" x14ac:dyDescent="0.55000000000000004">
      <c r="B4" s="1"/>
      <c r="C4" s="9"/>
      <c r="D4" s="9"/>
      <c r="E4" s="9"/>
      <c r="F4" s="9"/>
      <c r="G4" s="9"/>
      <c r="H4" s="9"/>
      <c r="I4" s="9"/>
      <c r="J4" s="9"/>
      <c r="K4" s="11"/>
      <c r="L4" s="12"/>
    </row>
    <row r="5" spans="2:12" x14ac:dyDescent="0.55000000000000004">
      <c r="B5" s="1"/>
      <c r="C5" s="9"/>
      <c r="D5" s="9"/>
      <c r="E5" s="9"/>
      <c r="F5" s="9"/>
      <c r="G5" s="9"/>
      <c r="H5" s="9"/>
      <c r="I5" s="9"/>
      <c r="J5" s="9"/>
      <c r="K5" s="11"/>
      <c r="L5" s="12"/>
    </row>
    <row r="6" spans="2:12" x14ac:dyDescent="0.55000000000000004">
      <c r="B6" s="1"/>
      <c r="C6" s="5" t="s">
        <v>25</v>
      </c>
      <c r="D6" s="10" t="s">
        <v>32</v>
      </c>
      <c r="E6" s="10"/>
      <c r="F6" s="10"/>
      <c r="G6" s="10"/>
      <c r="H6" s="10"/>
      <c r="I6" s="8">
        <v>120340</v>
      </c>
      <c r="J6" s="5">
        <v>4</v>
      </c>
      <c r="K6">
        <f>I6*J6</f>
        <v>481360</v>
      </c>
      <c r="L6" t="s">
        <v>26</v>
      </c>
    </row>
    <row r="7" spans="2:12" x14ac:dyDescent="0.55000000000000004">
      <c r="B7" s="1"/>
      <c r="C7" s="5" t="s">
        <v>8</v>
      </c>
      <c r="D7" s="10" t="s">
        <v>12</v>
      </c>
      <c r="E7" s="10"/>
      <c r="F7" s="10"/>
      <c r="G7" s="10"/>
      <c r="H7" s="10"/>
      <c r="I7" s="7">
        <v>187649</v>
      </c>
      <c r="J7" s="6">
        <v>2</v>
      </c>
      <c r="K7">
        <f t="shared" ref="K7:K14" si="0">I7*J7</f>
        <v>375298</v>
      </c>
      <c r="L7" t="s">
        <v>28</v>
      </c>
    </row>
    <row r="8" spans="2:12" x14ac:dyDescent="0.55000000000000004">
      <c r="B8" s="1"/>
      <c r="C8" s="2" t="s">
        <v>3</v>
      </c>
      <c r="D8" s="10" t="s">
        <v>29</v>
      </c>
      <c r="E8" s="10"/>
      <c r="F8" s="10"/>
      <c r="G8" s="10"/>
      <c r="H8" s="10"/>
      <c r="I8" s="7">
        <v>45936</v>
      </c>
      <c r="J8" s="6">
        <v>2</v>
      </c>
      <c r="K8">
        <f t="shared" si="0"/>
        <v>91872</v>
      </c>
      <c r="L8" t="s">
        <v>28</v>
      </c>
    </row>
    <row r="9" spans="2:12" x14ac:dyDescent="0.55000000000000004">
      <c r="B9" s="1"/>
      <c r="C9" s="2" t="s">
        <v>4</v>
      </c>
      <c r="D9" s="10" t="s">
        <v>13</v>
      </c>
      <c r="E9" s="10"/>
      <c r="F9" s="10"/>
      <c r="G9" s="10"/>
      <c r="H9" s="10"/>
      <c r="I9" s="7">
        <v>61380</v>
      </c>
      <c r="J9" s="6">
        <v>2</v>
      </c>
      <c r="K9">
        <f t="shared" si="0"/>
        <v>122760</v>
      </c>
      <c r="L9" t="s">
        <v>26</v>
      </c>
    </row>
    <row r="10" spans="2:12" x14ac:dyDescent="0.55000000000000004">
      <c r="B10" s="1"/>
      <c r="C10" s="2" t="s">
        <v>5</v>
      </c>
      <c r="D10" s="10" t="s">
        <v>22</v>
      </c>
      <c r="E10" s="10"/>
      <c r="F10" s="10"/>
      <c r="G10" s="10"/>
      <c r="H10" s="10"/>
      <c r="I10" s="7">
        <v>35090</v>
      </c>
      <c r="J10" s="6">
        <v>4</v>
      </c>
      <c r="K10">
        <f t="shared" si="0"/>
        <v>140360</v>
      </c>
      <c r="L10" t="s">
        <v>26</v>
      </c>
    </row>
    <row r="11" spans="2:12" x14ac:dyDescent="0.55000000000000004">
      <c r="B11" s="1"/>
      <c r="C11" s="2" t="s">
        <v>9</v>
      </c>
      <c r="D11" s="10" t="s">
        <v>11</v>
      </c>
      <c r="E11" s="10"/>
      <c r="F11" s="10"/>
      <c r="G11" s="10"/>
      <c r="H11" s="10"/>
      <c r="I11" s="7">
        <v>102700</v>
      </c>
      <c r="J11" s="6">
        <v>2</v>
      </c>
      <c r="K11">
        <f t="shared" si="0"/>
        <v>205400</v>
      </c>
      <c r="L11" t="s">
        <v>26</v>
      </c>
    </row>
    <row r="12" spans="2:12" x14ac:dyDescent="0.55000000000000004">
      <c r="B12" s="1"/>
      <c r="C12" s="2" t="s">
        <v>10</v>
      </c>
      <c r="D12" s="10" t="s">
        <v>14</v>
      </c>
      <c r="E12" s="10"/>
      <c r="F12" s="10"/>
      <c r="G12" s="10"/>
      <c r="H12" s="10"/>
      <c r="I12" s="7">
        <v>60500</v>
      </c>
      <c r="J12" s="6">
        <v>2</v>
      </c>
      <c r="K12">
        <f t="shared" si="0"/>
        <v>121000</v>
      </c>
      <c r="L12" t="s">
        <v>28</v>
      </c>
    </row>
    <row r="13" spans="2:12" x14ac:dyDescent="0.55000000000000004">
      <c r="B13" s="1"/>
      <c r="C13" s="2" t="s">
        <v>21</v>
      </c>
      <c r="D13" s="10" t="s">
        <v>23</v>
      </c>
      <c r="E13" s="10"/>
      <c r="F13" s="10"/>
      <c r="G13" s="10"/>
      <c r="H13" s="10"/>
      <c r="I13" s="7">
        <v>3300</v>
      </c>
      <c r="J13" s="6">
        <v>2</v>
      </c>
      <c r="K13">
        <f t="shared" si="0"/>
        <v>6600</v>
      </c>
      <c r="L13" t="s">
        <v>26</v>
      </c>
    </row>
    <row r="14" spans="2:12" x14ac:dyDescent="0.55000000000000004">
      <c r="B14" s="1"/>
      <c r="C14" s="2" t="s">
        <v>24</v>
      </c>
      <c r="D14" s="10" t="s">
        <v>33</v>
      </c>
      <c r="E14" s="10"/>
      <c r="F14" s="10"/>
      <c r="G14" s="10"/>
      <c r="H14" s="10"/>
      <c r="I14" s="7">
        <v>41910</v>
      </c>
      <c r="J14" s="6">
        <v>4</v>
      </c>
      <c r="K14">
        <f t="shared" si="0"/>
        <v>167640</v>
      </c>
      <c r="L14" t="s">
        <v>26</v>
      </c>
    </row>
    <row r="15" spans="2:12" x14ac:dyDescent="0.55000000000000004">
      <c r="B15" s="1"/>
      <c r="C15" s="2"/>
      <c r="D15" s="10" t="s">
        <v>27</v>
      </c>
      <c r="E15" s="10"/>
      <c r="F15" s="10"/>
      <c r="G15" s="10"/>
      <c r="H15" s="10"/>
      <c r="I15" s="7" t="s">
        <v>30</v>
      </c>
      <c r="J15" s="6"/>
      <c r="K15" t="s">
        <v>31</v>
      </c>
    </row>
    <row r="16" spans="2:12" x14ac:dyDescent="0.55000000000000004">
      <c r="B16" s="1"/>
      <c r="C16" s="5"/>
      <c r="D16" s="9"/>
      <c r="E16" s="9"/>
      <c r="F16" s="9"/>
      <c r="G16" s="9"/>
      <c r="H16" s="9"/>
      <c r="I16" s="5"/>
      <c r="J16" s="5"/>
    </row>
    <row r="17" spans="2:11" x14ac:dyDescent="0.55000000000000004">
      <c r="B17" s="1"/>
      <c r="C17" s="5"/>
      <c r="D17" s="10"/>
      <c r="E17" s="10"/>
      <c r="F17" s="10"/>
      <c r="G17" s="10"/>
      <c r="H17" s="10"/>
      <c r="I17" s="5"/>
      <c r="J17" s="6"/>
    </row>
    <row r="18" spans="2:11" x14ac:dyDescent="0.55000000000000004">
      <c r="B18" s="1"/>
      <c r="C18" s="5"/>
      <c r="D18" s="10"/>
      <c r="E18" s="10"/>
      <c r="F18" s="10"/>
      <c r="G18" s="10"/>
      <c r="H18" s="10"/>
      <c r="I18" s="5"/>
      <c r="J18" s="6"/>
    </row>
    <row r="19" spans="2:11" x14ac:dyDescent="0.55000000000000004">
      <c r="B19" s="1"/>
      <c r="C19" s="2"/>
      <c r="D19" s="10"/>
      <c r="E19" s="10"/>
      <c r="F19" s="10"/>
      <c r="G19" s="10"/>
      <c r="H19" s="10"/>
      <c r="I19" s="7"/>
      <c r="J19" s="6"/>
    </row>
    <row r="20" spans="2:11" x14ac:dyDescent="0.55000000000000004">
      <c r="B20" s="1"/>
      <c r="C20" s="2"/>
      <c r="D20" s="10"/>
      <c r="E20" s="10"/>
      <c r="F20" s="10"/>
      <c r="G20" s="10"/>
      <c r="H20" s="10"/>
      <c r="I20" s="7"/>
      <c r="J20" s="6"/>
    </row>
    <row r="21" spans="2:11" x14ac:dyDescent="0.55000000000000004">
      <c r="B21" s="1"/>
      <c r="C21" s="2"/>
      <c r="D21" s="14"/>
      <c r="E21" s="15"/>
      <c r="F21" s="15"/>
      <c r="G21" s="15"/>
      <c r="H21" s="16"/>
      <c r="I21" s="6"/>
      <c r="J21" s="6"/>
    </row>
    <row r="22" spans="2:11" x14ac:dyDescent="0.55000000000000004">
      <c r="B22" s="1"/>
      <c r="C22" s="1"/>
      <c r="D22" s="1"/>
      <c r="E22" s="1"/>
      <c r="F22" s="1"/>
      <c r="G22" s="1"/>
      <c r="H22" s="1"/>
      <c r="I22" s="3" t="s">
        <v>6</v>
      </c>
      <c r="J22" s="4">
        <f>SUM(I6*J6,I7*J7,I8*J8,I9*J9,I10*J10,I11*J11,I12*J12,I13*J13,I14*J14)</f>
        <v>1712290</v>
      </c>
      <c r="K22" s="1"/>
    </row>
    <row r="23" spans="2:11" x14ac:dyDescent="0.55000000000000004">
      <c r="B23" s="1"/>
      <c r="C23" s="1"/>
      <c r="D23" s="1"/>
      <c r="E23" s="1"/>
      <c r="F23" s="1"/>
      <c r="G23" s="1"/>
      <c r="H23" s="1"/>
      <c r="K23" s="1"/>
    </row>
    <row r="26" spans="2:11" x14ac:dyDescent="0.55000000000000004">
      <c r="B26" t="s">
        <v>15</v>
      </c>
      <c r="C26" t="s">
        <v>16</v>
      </c>
      <c r="D26" t="s">
        <v>17</v>
      </c>
      <c r="E26" t="s">
        <v>18</v>
      </c>
      <c r="F26" t="s">
        <v>19</v>
      </c>
      <c r="G26" t="s">
        <v>20</v>
      </c>
    </row>
  </sheetData>
  <mergeCells count="23">
    <mergeCell ref="D21:H21"/>
    <mergeCell ref="C2:J2"/>
    <mergeCell ref="C3:C5"/>
    <mergeCell ref="D3:H5"/>
    <mergeCell ref="J3:J5"/>
    <mergeCell ref="I3:I5"/>
    <mergeCell ref="D17:H17"/>
    <mergeCell ref="D18:H18"/>
    <mergeCell ref="D19:H19"/>
    <mergeCell ref="D20:H20"/>
    <mergeCell ref="D16:H16"/>
    <mergeCell ref="D9:H9"/>
    <mergeCell ref="D13:H13"/>
    <mergeCell ref="K3:K5"/>
    <mergeCell ref="L3:L5"/>
    <mergeCell ref="D7:H7"/>
    <mergeCell ref="D6:H6"/>
    <mergeCell ref="D15:H15"/>
    <mergeCell ref="D8:H8"/>
    <mergeCell ref="D14:H14"/>
    <mergeCell ref="D10:H10"/>
    <mergeCell ref="D11:H11"/>
    <mergeCell ref="D12:H1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이원종(2020134026)</dc:creator>
  <cp:lastModifiedBy>이원종(2020134026)</cp:lastModifiedBy>
  <dcterms:created xsi:type="dcterms:W3CDTF">2025-11-03T05:46:08Z</dcterms:created>
  <dcterms:modified xsi:type="dcterms:W3CDTF">2025-11-11T14:26:15Z</dcterms:modified>
</cp:coreProperties>
</file>